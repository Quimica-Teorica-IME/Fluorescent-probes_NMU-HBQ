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outorado\!Meus Artigos\7 - fluorescence-DCP - ANSWERING REFEREE\calculos-referee\theodore\"/>
    </mc:Choice>
  </mc:AlternateContent>
  <xr:revisionPtr revIDLastSave="0" documentId="13_ncr:1_{EE7610B2-F20B-49E8-9A6C-25410AE5FE64}" xr6:coauthVersionLast="47" xr6:coauthVersionMax="47" xr10:uidLastSave="{00000000-0000-0000-0000-000000000000}"/>
  <bookViews>
    <workbookView xWindow="28680" yWindow="-120" windowWidth="29040" windowHeight="15720" tabRatio="689" xr2:uid="{00000000-000D-0000-FFFF-FFFF00000000}"/>
  </bookViews>
  <sheets>
    <sheet name="CT - HBQ" sheetId="4" r:id="rId1"/>
    <sheet name="CT - NMU" sheetId="8" r:id="rId2"/>
    <sheet name="Sheet1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4" l="1" a="1"/>
  <c r="P5" i="4" s="1"/>
  <c r="X5" i="4" a="1"/>
  <c r="X5" i="4" s="1"/>
  <c r="W5" i="4" a="1"/>
  <c r="W5" i="4" s="1"/>
  <c r="V5" i="4" a="1"/>
  <c r="V5" i="4" s="1"/>
  <c r="U5" i="4" a="1"/>
  <c r="U5" i="4" s="1"/>
  <c r="T5" i="4" a="1"/>
  <c r="T5" i="4" s="1"/>
  <c r="S5" i="4" a="1"/>
  <c r="S5" i="4" s="1"/>
  <c r="R5" i="4" a="1"/>
  <c r="R5" i="4" s="1"/>
  <c r="Q5" i="4" a="1"/>
  <c r="Q5" i="4" s="1"/>
  <c r="W5" i="8" a="1"/>
  <c r="W5" i="8" s="1"/>
  <c r="T5" i="8" a="1"/>
  <c r="T5" i="8" s="1"/>
  <c r="U5" i="8" a="1"/>
  <c r="U5" i="8" s="1"/>
  <c r="V5" i="8" a="1"/>
  <c r="V5" i="8" s="1"/>
  <c r="X5" i="8" a="1"/>
  <c r="X5" i="8" s="1"/>
  <c r="Y5" i="8" a="1"/>
  <c r="Y5" i="8" s="1"/>
  <c r="Z5" i="8" a="1"/>
  <c r="Z5" i="8" s="1"/>
  <c r="AA5" i="8" a="1"/>
  <c r="AA5" i="8" s="1"/>
  <c r="AB5" i="8" a="1"/>
  <c r="AB5" i="8" s="1"/>
  <c r="S5" i="8" a="1"/>
  <c r="S5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<sst xmlns="http://schemas.openxmlformats.org/spreadsheetml/2006/main" count="113" uniqueCount="23">
  <si>
    <r>
      <t>State (S</t>
    </r>
    <r>
      <rPr>
        <vertAlign val="subscript"/>
        <sz val="16"/>
        <color theme="1"/>
        <rFont val="Times New Roman"/>
        <family val="1"/>
      </rPr>
      <t>x</t>
    </r>
    <r>
      <rPr>
        <sz val="16"/>
        <color theme="1"/>
        <rFont val="Times New Roman"/>
        <family val="1"/>
      </rPr>
      <t>)</t>
    </r>
  </si>
  <si>
    <r>
      <t>S</t>
    </r>
    <r>
      <rPr>
        <vertAlign val="subscript"/>
        <sz val="16"/>
        <color theme="1"/>
        <rFont val="Times New Roman"/>
        <family val="1"/>
      </rPr>
      <t>1</t>
    </r>
  </si>
  <si>
    <t>f</t>
  </si>
  <si>
    <t>E(eV)</t>
  </si>
  <si>
    <t>CTAB</t>
  </si>
  <si>
    <t>CTAC</t>
  </si>
  <si>
    <t>CTBA</t>
  </si>
  <si>
    <t>CTCA</t>
  </si>
  <si>
    <t>CTBC</t>
  </si>
  <si>
    <t>CTCB</t>
  </si>
  <si>
    <t>LEA</t>
  </si>
  <si>
    <t>LEB</t>
  </si>
  <si>
    <t>LEC</t>
  </si>
  <si>
    <t>NMU-1 - B3LYP</t>
  </si>
  <si>
    <t>NMU-1 - CAM-B3LYP</t>
  </si>
  <si>
    <t>NMU-1</t>
  </si>
  <si>
    <t>B3LYP</t>
  </si>
  <si>
    <t>CAM-B3LYP</t>
  </si>
  <si>
    <t>Error (%)</t>
  </si>
  <si>
    <t>Functional</t>
  </si>
  <si>
    <t>HBQ+H</t>
  </si>
  <si>
    <t>HBQ-H - B3LYP</t>
  </si>
  <si>
    <t>HBQ-H - CAM-B3LYP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</si>
</sst>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0000"/>
    <numFmt numFmtId="165" formatCode="0.000000"/>
    <numFmt numFmtId="166" formatCode="0.000"/>
    <numFmt numFmtId="167" formatCode="0.0%"/>
  </numFmts>
  <fonts count="9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vertAlign val="subscript"/>
      <sz val="16"/>
      <color theme="1"/>
      <name val="Times New Roman"/>
      <family val="1"/>
    </font>
    <font>
      <sz val="8"/>
      <name val="Calibri"/>
      <family val="2"/>
      <scheme val="minor"/>
    </font>
    <font>
      <b/>
      <sz val="20"/>
      <color theme="0"/>
      <name val="Times New Roman"/>
      <family val="1"/>
    </font>
    <font>
      <b/>
      <sz val="16"/>
      <color theme="0"/>
      <name val="Times New Roman"/>
      <family val="1"/>
    </font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34998626667073579"/>
        <bgColor theme="0" tint="-0.14999847407452621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1" fillId="0" borderId="0" xfId="0" applyNumberFormat="1" applyFont="1"/>
    <xf numFmtId="165" fontId="1" fillId="0" borderId="0" xfId="0" applyNumberFormat="1" applyFont="1" applyAlignment="1">
      <alignment horizontal="center" vertical="center"/>
    </xf>
    <xf numFmtId="165" fontId="1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6" fontId="1" fillId="3" borderId="1" xfId="0" applyNumberFormat="1" applyFont="1" applyFill="1" applyBorder="1" applyAlignment="1">
      <alignment horizontal="center" vertical="center"/>
    </xf>
    <xf numFmtId="167" fontId="1" fillId="3" borderId="1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/>
    <xf numFmtId="164" fontId="8" fillId="0" borderId="0" xfId="0" applyNumberFormat="1" applyFont="1"/>
    <xf numFmtId="0" fontId="1" fillId="3" borderId="1" xfId="1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6" fontId="1" fillId="3" borderId="1" xfId="1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9" fontId="1" fillId="3" borderId="1" xfId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6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numFmt numFmtId="165" formatCode="0.0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numFmt numFmtId="165" formatCode="0.0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numFmt numFmtId="165" formatCode="0.0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numFmt numFmtId="165" formatCode="0.0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numFmt numFmtId="165" formatCode="0.0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numFmt numFmtId="165" formatCode="0.0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numFmt numFmtId="165" formatCode="0.0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numFmt numFmtId="165" formatCode="0.0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numFmt numFmtId="165" formatCode="0.0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numFmt numFmtId="168" formatCode="0.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numFmt numFmtId="166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numFmt numFmtId="166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numFmt numFmtId="166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numFmt numFmtId="166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numFmt numFmtId="166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numFmt numFmtId="166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numFmt numFmtId="166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numFmt numFmtId="166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numFmt numFmtId="166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numFmt numFmtId="166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numFmt numFmtId="166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numFmt numFmtId="165" formatCode="0.0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numFmt numFmtId="165" formatCode="0.0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numFmt numFmtId="165" formatCode="0.0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numFmt numFmtId="165" formatCode="0.0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numFmt numFmtId="165" formatCode="0.0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numFmt numFmtId="165" formatCode="0.0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numFmt numFmtId="165" formatCode="0.0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numFmt numFmtId="165" formatCode="0.0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numFmt numFmtId="165" formatCode="0.0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numFmt numFmtId="168" formatCode="0.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numFmt numFmtId="166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numFmt numFmtId="166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numFmt numFmtId="166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numFmt numFmtId="166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numFmt numFmtId="166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numFmt numFmtId="166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numFmt numFmtId="166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numFmt numFmtId="166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numFmt numFmtId="166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numFmt numFmtId="166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Table Style 1" pivot="0" count="0" xr9:uid="{8BDD2F25-E830-4029-B3CB-9C274A63041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276472</xdr:colOff>
      <xdr:row>11</xdr:row>
      <xdr:rowOff>201633</xdr:rowOff>
    </xdr:from>
    <xdr:to>
      <xdr:col>6</xdr:col>
      <xdr:colOff>424004</xdr:colOff>
      <xdr:row>23</xdr:row>
      <xdr:rowOff>173286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3A767C4-7648-17C5-ACAF-706F5B72AD2B}"/>
            </a:ext>
          </a:extLst>
        </xdr:cNvPr>
        <xdr:cNvGrpSpPr/>
      </xdr:nvGrpSpPr>
      <xdr:grpSpPr>
        <a:xfrm>
          <a:off x="3740108" y="3368386"/>
          <a:ext cx="4303896" cy="3088926"/>
          <a:chOff x="142875" y="1532659"/>
          <a:chExt cx="4303896" cy="3039445"/>
        </a:xfrm>
      </xdr:grpSpPr>
      <xdr:sp macro="" textlink="">
        <xdr:nvSpPr>
          <xdr:cNvPr id="13" name="CaixaDeTexto 34">
            <a:extLst>
              <a:ext uri="{FF2B5EF4-FFF2-40B4-BE49-F238E27FC236}">
                <a16:creationId xmlns:a16="http://schemas.microsoft.com/office/drawing/2014/main" id="{2F2FAAAC-ED9E-4446-8A24-6D608D9AE3B6}"/>
              </a:ext>
            </a:extLst>
          </xdr:cNvPr>
          <xdr:cNvSpPr txBox="1"/>
        </xdr:nvSpPr>
        <xdr:spPr>
          <a:xfrm>
            <a:off x="2571652" y="4141498"/>
            <a:ext cx="404904" cy="430606"/>
          </a:xfrm>
          <a:prstGeom prst="round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>
            <a:sp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</a:p>
        </xdr:txBody>
      </xdr:sp>
      <xdr:sp macro="" textlink="">
        <xdr:nvSpPr>
          <xdr:cNvPr id="14" name="CaixaDeTexto 32">
            <a:extLst>
              <a:ext uri="{FF2B5EF4-FFF2-40B4-BE49-F238E27FC236}">
                <a16:creationId xmlns:a16="http://schemas.microsoft.com/office/drawing/2014/main" id="{7E9D410B-C3A6-4ED5-B425-455A22C8497D}"/>
              </a:ext>
            </a:extLst>
          </xdr:cNvPr>
          <xdr:cNvSpPr txBox="1"/>
        </xdr:nvSpPr>
        <xdr:spPr>
          <a:xfrm>
            <a:off x="142875" y="1918450"/>
            <a:ext cx="410041" cy="434475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wrap="square" rtlCol="0">
            <a:sp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20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</a:t>
            </a:r>
          </a:p>
        </xdr:txBody>
      </xdr:sp>
      <xdr:sp macro="" textlink="">
        <xdr:nvSpPr>
          <xdr:cNvPr id="15" name="CaixaDeTexto 34">
            <a:extLst>
              <a:ext uri="{FF2B5EF4-FFF2-40B4-BE49-F238E27FC236}">
                <a16:creationId xmlns:a16="http://schemas.microsoft.com/office/drawing/2014/main" id="{44212F0C-DFFB-4615-9537-38EDCA4DC9A2}"/>
              </a:ext>
            </a:extLst>
          </xdr:cNvPr>
          <xdr:cNvSpPr txBox="1"/>
        </xdr:nvSpPr>
        <xdr:spPr>
          <a:xfrm>
            <a:off x="4036730" y="1918450"/>
            <a:ext cx="410041" cy="434475"/>
          </a:xfrm>
          <a:prstGeom prst="roundRect">
            <a:avLst/>
          </a:prstGeom>
          <a:noFill/>
          <a:ln>
            <a:solidFill>
              <a:srgbClr val="FF0000"/>
            </a:solidFill>
          </a:ln>
        </xdr:spPr>
        <xdr:txBody>
          <a:bodyPr wrap="square" rtlCol="0">
            <a:sp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20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</a:t>
            </a:r>
          </a:p>
        </xdr:txBody>
      </xdr:sp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53617C35-E7FB-49C7-9B66-39099357203A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67104" y="1532659"/>
            <a:ext cx="3402669" cy="2608839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376926</xdr:colOff>
      <xdr:row>10</xdr:row>
      <xdr:rowOff>64782</xdr:rowOff>
    </xdr:from>
    <xdr:to>
      <xdr:col>9</xdr:col>
      <xdr:colOff>806773</xdr:colOff>
      <xdr:row>25</xdr:row>
      <xdr:rowOff>76861</xdr:rowOff>
    </xdr:to>
    <xdr:pic>
      <xdr:nvPicPr>
        <xdr:cNvPr id="2" name="Imagem 1" descr="Forma&#10;&#10;Descrição gerada automaticamente com confiança baixa">
          <a:extLst>
            <a:ext uri="{FF2B5EF4-FFF2-40B4-BE49-F238E27FC236}">
              <a16:creationId xmlns:a16="http://schemas.microsoft.com/office/drawing/2014/main" id="{FECCEDC8-CA6B-CB9F-5C86-436828383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1720" y="4580753"/>
          <a:ext cx="6469818" cy="387810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50ED61-D161-4592-8814-13FB8D59E39E}" name="Tabela1523" displayName="Tabela1523" ref="A2:L3" totalsRowShown="0" headerRowDxfId="66" dataDxfId="65">
  <autoFilter ref="A2:L3" xr:uid="{FD50ED61-D161-4592-8814-13FB8D59E39E}"/>
  <tableColumns count="12">
    <tableColumn id="1" xr3:uid="{ECF40B4D-34E8-4D39-AA09-F357A401F984}" name="State (Sx)" dataDxfId="64"/>
    <tableColumn id="3" xr3:uid="{E5163BC7-753F-4EB4-85BE-32DFDB680587}" name="E(eV)" dataDxfId="63"/>
    <tableColumn id="4" xr3:uid="{6EDF1EFF-E872-4BA8-913B-028612EDFE35}" name="f" dataDxfId="62"/>
    <tableColumn id="5" xr3:uid="{C17A3E27-B65C-44DD-9040-F44A6E8F745C}" name="CTAB" dataDxfId="61"/>
    <tableColumn id="6" xr3:uid="{BF392805-3726-4333-82E5-C51995D9C422}" name="CTAC" dataDxfId="60"/>
    <tableColumn id="7" xr3:uid="{76DADBC8-11BD-4495-98B1-258951335F15}" name="CTBA" dataDxfId="59"/>
    <tableColumn id="8" xr3:uid="{3D97D266-9535-4795-AF19-A65E4F35C27B}" name="CTCA" dataDxfId="58"/>
    <tableColumn id="2" xr3:uid="{B26FB568-64E3-4008-B78C-BB595BD5F539}" name="CTBC" dataDxfId="57"/>
    <tableColumn id="9" xr3:uid="{2BBDB16E-45A8-4123-81FA-633843CB0EB2}" name="CTCB" dataDxfId="56"/>
    <tableColumn id="10" xr3:uid="{7A4F6F2A-C111-4CF5-9474-6002CEA2B60F}" name="LEA" dataDxfId="55"/>
    <tableColumn id="11" xr3:uid="{7D854703-C283-4A76-9705-03D8453A3483}" name="LEB" dataDxfId="54"/>
    <tableColumn id="12" xr3:uid="{3ABE4B03-0A91-4E63-8B12-9B16C4ACD09B}" name="LEC" dataDxfId="53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7E3C019-31CB-428C-87A2-308AB0002B81}" name="Tabela14975" displayName="Tabela14975" ref="O2:X3" totalsRowShown="0" headerRowDxfId="52" dataDxfId="51">
  <autoFilter ref="O2:X3" xr:uid="{07E3C019-31CB-428C-87A2-308AB0002B81}"/>
  <tableColumns count="10">
    <tableColumn id="13" xr3:uid="{5D9EB73E-3072-41EB-9F20-9BC9B7E66C02}" name="Functional" dataDxfId="50"/>
    <tableColumn id="5" xr3:uid="{22EE9459-2C2B-421C-8527-F59644823788}" name="CTAB" dataDxfId="49"/>
    <tableColumn id="6" xr3:uid="{38387A93-5411-45D5-8E56-61A7A556B162}" name="CTAC" dataDxfId="48"/>
    <tableColumn id="7" xr3:uid="{495535A8-13A7-4934-88AC-A4308DAFEBE0}" name="CTBA" dataDxfId="47"/>
    <tableColumn id="8" xr3:uid="{6477E962-A4DF-4992-9961-2851C8E0FF4C}" name="CTCA" dataDxfId="46"/>
    <tableColumn id="2" xr3:uid="{3F0907DD-7533-46B1-BF8B-D2E26AED76FA}" name="CTBC" dataDxfId="45"/>
    <tableColumn id="9" xr3:uid="{E2E5B409-65BE-46E9-8F83-BA54C4F6412E}" name="CTCB" dataDxfId="44"/>
    <tableColumn id="10" xr3:uid="{5C1FF101-F0E9-43C2-AC89-2D708EAF2053}" name="LEA" dataDxfId="43"/>
    <tableColumn id="11" xr3:uid="{2BFCB07E-2274-476E-8D52-D6DDFF7C5123}" name="LEB" dataDxfId="42"/>
    <tableColumn id="12" xr3:uid="{0DDC590B-28D2-4A36-AEAB-EDE784C17B8A}" name="LEC" dataDxfId="41"/>
  </tableColumns>
  <tableStyleInfo name="TableStyleMedium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3743A2B-637B-4B94-9BCE-888A73CAE89E}" name="Tabela149" displayName="Tabela149" ref="B2:M3" totalsRowShown="0" headerRowDxfId="40" dataDxfId="39">
  <autoFilter ref="B2:M3" xr:uid="{F2C6829A-D5B0-44F3-A212-24E54323A508}"/>
  <tableColumns count="12">
    <tableColumn id="1" xr3:uid="{349CB0D6-7C65-4CD7-81C7-6258B08F6288}" name="State (Sx)" dataDxfId="38"/>
    <tableColumn id="3" xr3:uid="{2E16AA73-854A-49CE-AE2F-22177967F7F7}" name="E(eV)" dataDxfId="37"/>
    <tableColumn id="4" xr3:uid="{4E525A20-1531-4A53-B518-168C973AE20E}" name="f" dataDxfId="36"/>
    <tableColumn id="5" xr3:uid="{7C139A4E-FED2-4EBE-88B6-710D14782206}" name="CTAB" dataDxfId="35"/>
    <tableColumn id="6" xr3:uid="{17D72E0D-D6D4-4C9A-9409-1A29857BDC67}" name="CTAC" dataDxfId="34"/>
    <tableColumn id="7" xr3:uid="{17A0D1B7-F946-4967-B500-D2D710BB0670}" name="CTBA" dataDxfId="33"/>
    <tableColumn id="8" xr3:uid="{5BF40474-706D-4955-8E97-0F8372CEE653}" name="CTCA" dataDxfId="32"/>
    <tableColumn id="2" xr3:uid="{8F77FF6F-DCE8-4621-B047-E303E9B371A1}" name="CTBC" dataDxfId="31"/>
    <tableColumn id="9" xr3:uid="{4FA98017-2B21-464B-B60E-5314DCD12E29}" name="CTCB" dataDxfId="30"/>
    <tableColumn id="10" xr3:uid="{A4070CE6-5BAA-43E0-9847-2A7F2DDFE597}" name="LEA" dataDxfId="29"/>
    <tableColumn id="11" xr3:uid="{C59AC4BD-28FE-4105-A999-391A65DA9966}" name="LEB" dataDxfId="28"/>
    <tableColumn id="12" xr3:uid="{5CF19A93-E706-4BA8-8072-8556CA1A05D4}" name="LEC" dataDxfId="27"/>
  </tableColumns>
  <tableStyleInfo name="TableStyleMedium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D6A528-2D6A-4BBA-80A5-C05173C0EC2E}" name="Tabela1497" displayName="Tabela1497" ref="R2:AB3" totalsRowShown="0" headerRowDxfId="26" dataDxfId="25">
  <autoFilter ref="R2:AB3" xr:uid="{02D6A528-2D6A-4BBA-80A5-C05173C0EC2E}"/>
  <tableColumns count="11">
    <tableColumn id="13" xr3:uid="{EF31FDF1-A6FA-4E14-A20E-B4D319E8F77A}" name="Functional" dataDxfId="24"/>
    <tableColumn id="4" xr3:uid="{707C5289-3FAA-4250-995E-5152AD79DF32}" name="f" dataDxfId="23"/>
    <tableColumn id="5" xr3:uid="{484F1EF8-4F37-456F-A8AD-B662F1C3FF46}" name="CTAB" dataDxfId="22"/>
    <tableColumn id="6" xr3:uid="{329B8D31-32D2-43D1-B2EB-C505B47439AE}" name="CTAC" dataDxfId="21"/>
    <tableColumn id="7" xr3:uid="{D70CA8D8-EB47-4F41-99A9-B1AA543E55C6}" name="CTBA" dataDxfId="20"/>
    <tableColumn id="8" xr3:uid="{FA8E7099-747E-4C6D-B42A-7AFE9E2BF2D8}" name="CTCA" dataDxfId="19"/>
    <tableColumn id="2" xr3:uid="{5FD67143-2FC7-4D36-9E50-9706BA5A9118}" name="CTBC" dataDxfId="18"/>
    <tableColumn id="9" xr3:uid="{5E0A3B3E-817A-411C-BD47-636F487685BA}" name="CTCB" dataDxfId="17"/>
    <tableColumn id="10" xr3:uid="{77CFFBD9-1FE9-420F-911A-03CBD4B69099}" name="LEA" dataDxfId="16"/>
    <tableColumn id="11" xr3:uid="{B91B1D41-2743-4AD5-A0C1-F70CCD4BFC6A}" name="LEB" dataDxfId="15"/>
    <tableColumn id="12" xr3:uid="{8F7D311A-6CD5-4C50-9A81-9ACF47B9EE0A}" name="LEC" dataDxfId="14"/>
  </tableColumns>
  <tableStyleInfo name="TableStyleMedium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1E81B70-4201-48B2-86CF-0ECE225AC547}" name="Tabela1498" displayName="Tabela1498" ref="B7:M8" totalsRowShown="0" headerRowDxfId="13" dataDxfId="12">
  <autoFilter ref="B7:M8" xr:uid="{11E81B70-4201-48B2-86CF-0ECE225AC547}"/>
  <tableColumns count="12">
    <tableColumn id="1" xr3:uid="{8E13578E-DF25-4B91-AAE0-8E94DA31B9C7}" name="State (Sx)" dataDxfId="11"/>
    <tableColumn id="3" xr3:uid="{EE5DFBF7-1F70-4606-A8B0-C656F5F53B5F}" name="E(eV)" dataDxfId="10"/>
    <tableColumn id="4" xr3:uid="{3635EAFB-A766-4034-BB35-00068FA0EAE6}" name="f" dataDxfId="9"/>
    <tableColumn id="5" xr3:uid="{D19FF481-46C2-4558-83BC-F37F57F40FE3}" name="CTAB" dataDxfId="8"/>
    <tableColumn id="6" xr3:uid="{4E575725-B6EF-4D1F-84D1-031C2929781C}" name="CTAC" dataDxfId="7"/>
    <tableColumn id="7" xr3:uid="{D090635F-A43B-4C63-8D12-6C0E220806B4}" name="CTBA" dataDxfId="6"/>
    <tableColumn id="8" xr3:uid="{56ECD348-B91F-48CF-97B3-99760670943A}" name="CTCA" dataDxfId="5"/>
    <tableColumn id="2" xr3:uid="{C6F8C03E-6327-4763-9C8F-8CCFF63A6496}" name="CTBC" dataDxfId="4"/>
    <tableColumn id="9" xr3:uid="{365ABD96-D1B1-42D9-BD28-ED659705D1CC}" name="CTCB" dataDxfId="3"/>
    <tableColumn id="10" xr3:uid="{38C1ED6B-7C5B-4313-B298-79A44CB9259B}" name="LEA" dataDxfId="2"/>
    <tableColumn id="11" xr3:uid="{5EDE7361-B344-41B5-9F09-B922A26570CF}" name="LEB" dataDxfId="1"/>
    <tableColumn id="12" xr3:uid="{DD9565DC-7D68-46CD-BF8A-3573C3BFA2FF}" name="LEC" dataDxfId="0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9C4EB-2E77-4DF1-B395-D2E0C80A19E6}">
  <dimension ref="A1:Z19"/>
  <sheetViews>
    <sheetView tabSelected="1" zoomScale="77" zoomScaleNormal="55" workbookViewId="0">
      <selection activeCell="A7" sqref="A7"/>
    </sheetView>
  </sheetViews>
  <sheetFormatPr defaultRowHeight="20.25" x14ac:dyDescent="0.3"/>
  <cols>
    <col min="1" max="1" width="23.28515625" style="1" bestFit="1" customWidth="1"/>
    <col min="2" max="2" width="17.5703125" style="1" bestFit="1" customWidth="1"/>
    <col min="3" max="3" width="11" style="1" bestFit="1" customWidth="1"/>
    <col min="4" max="7" width="20.7109375" style="1" bestFit="1" customWidth="1"/>
    <col min="8" max="9" width="22.28515625" style="1" bestFit="1" customWidth="1"/>
    <col min="10" max="10" width="16" style="1" bestFit="1" customWidth="1"/>
    <col min="11" max="12" width="17.5703125" style="1" bestFit="1" customWidth="1"/>
    <col min="13" max="13" width="9.140625" style="1"/>
    <col min="14" max="14" width="13.7109375" style="1" bestFit="1" customWidth="1"/>
    <col min="15" max="15" width="24.85546875" style="1" bestFit="1" customWidth="1"/>
    <col min="16" max="16" width="18.5703125" style="1" bestFit="1" customWidth="1"/>
    <col min="17" max="17" width="18.85546875" style="1" bestFit="1" customWidth="1"/>
    <col min="18" max="18" width="18.5703125" style="1" customWidth="1"/>
    <col min="19" max="21" width="18.85546875" style="1" bestFit="1" customWidth="1"/>
    <col min="22" max="23" width="15.7109375" style="1" bestFit="1" customWidth="1"/>
    <col min="24" max="24" width="16" style="1" bestFit="1" customWidth="1"/>
    <col min="25" max="16384" width="9.140625" style="1"/>
  </cols>
  <sheetData>
    <row r="1" spans="1:26" ht="25.5" x14ac:dyDescent="0.3">
      <c r="A1" s="18" t="s">
        <v>21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O1" s="19" t="s">
        <v>20</v>
      </c>
      <c r="P1" s="19"/>
      <c r="Q1" s="19"/>
      <c r="R1" s="19"/>
      <c r="S1" s="19"/>
      <c r="T1" s="19"/>
      <c r="U1" s="19"/>
      <c r="V1" s="19"/>
      <c r="W1" s="19"/>
      <c r="X1" s="19"/>
    </row>
    <row r="2" spans="1:26" ht="23.25" x14ac:dyDescent="0.3">
      <c r="A2" s="2" t="s">
        <v>0</v>
      </c>
      <c r="B2" s="2" t="s">
        <v>3</v>
      </c>
      <c r="C2" s="2" t="s">
        <v>2</v>
      </c>
      <c r="D2" s="10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O2" s="2" t="s">
        <v>19</v>
      </c>
      <c r="P2" s="2" t="s">
        <v>4</v>
      </c>
      <c r="Q2" s="2" t="s">
        <v>5</v>
      </c>
      <c r="R2" s="2" t="s">
        <v>6</v>
      </c>
      <c r="S2" s="2" t="s">
        <v>7</v>
      </c>
      <c r="T2" s="2" t="s">
        <v>8</v>
      </c>
      <c r="U2" s="2" t="s">
        <v>9</v>
      </c>
      <c r="V2" s="2" t="s">
        <v>10</v>
      </c>
      <c r="W2" s="2" t="s">
        <v>11</v>
      </c>
      <c r="X2" s="2" t="s">
        <v>12</v>
      </c>
      <c r="Y2" s="2"/>
      <c r="Z2" s="2"/>
    </row>
    <row r="3" spans="1:26" ht="23.25" x14ac:dyDescent="0.3">
      <c r="A3" s="2" t="s">
        <v>1</v>
      </c>
      <c r="B3" s="1">
        <v>3.355</v>
      </c>
      <c r="C3" s="1">
        <v>0.23599999999999999</v>
      </c>
      <c r="D3" s="1">
        <v>8.3300000000000006E-3</v>
      </c>
      <c r="E3" s="1">
        <v>1.8500000000000001E-3</v>
      </c>
      <c r="F3" s="1">
        <v>1.6549999999999999E-2</v>
      </c>
      <c r="G3" s="1">
        <v>4.9270000000000001E-2</v>
      </c>
      <c r="H3" s="1">
        <v>4.2720000000000001E-2</v>
      </c>
      <c r="I3" s="1">
        <v>0.56886000000000003</v>
      </c>
      <c r="J3" s="1">
        <v>9.7999999999999997E-4</v>
      </c>
      <c r="K3" s="1">
        <v>0.20050999999999999</v>
      </c>
      <c r="L3" s="1">
        <v>0.11094</v>
      </c>
      <c r="O3" s="2" t="s">
        <v>16</v>
      </c>
      <c r="P3" s="2">
        <v>8.3300000000000006E-3</v>
      </c>
      <c r="Q3" s="2">
        <v>1.8500000000000001E-3</v>
      </c>
      <c r="R3" s="2">
        <v>1.6549999999999999E-2</v>
      </c>
      <c r="S3" s="2">
        <v>4.9270000000000001E-2</v>
      </c>
      <c r="T3" s="2">
        <v>4.2720000000000001E-2</v>
      </c>
      <c r="U3" s="2">
        <v>0.56886000000000003</v>
      </c>
      <c r="V3" s="2">
        <v>9.7999999999999997E-4</v>
      </c>
      <c r="W3" s="2">
        <v>0.20050999999999999</v>
      </c>
      <c r="X3" s="2">
        <v>0.11094</v>
      </c>
    </row>
    <row r="4" spans="1:26" ht="21" thickBot="1" x14ac:dyDescent="0.35">
      <c r="O4" s="6" t="s">
        <v>17</v>
      </c>
      <c r="P4" s="6">
        <v>5.11E-3</v>
      </c>
      <c r="Q4" s="6">
        <v>2.2599999999999999E-3</v>
      </c>
      <c r="R4" s="6">
        <v>4.4670000000000001E-2</v>
      </c>
      <c r="S4" s="6">
        <v>5.21E-2</v>
      </c>
      <c r="T4" s="6">
        <v>6.2239999999999997E-2</v>
      </c>
      <c r="U4" s="6">
        <v>0.45274999999999999</v>
      </c>
      <c r="V4" s="6">
        <v>2.0699999999999998E-3</v>
      </c>
      <c r="W4" s="6">
        <v>0.23375000000000001</v>
      </c>
      <c r="X4" s="6">
        <v>0.14505000000000001</v>
      </c>
    </row>
    <row r="5" spans="1:26" ht="21" thickBot="1" x14ac:dyDescent="0.35">
      <c r="O5" s="6" t="s">
        <v>18</v>
      </c>
      <c r="P5" s="9" cm="1">
        <f t="array" ref="P5">ABS(Tabela14975[CTAB]-P4)/P4</f>
        <v>0.63013698630136994</v>
      </c>
      <c r="Q5" s="9" cm="1">
        <f t="array" ref="Q5">ABS(Tabela14975[CTAC]-Q4)/Q4</f>
        <v>0.18141592920353974</v>
      </c>
      <c r="R5" s="9" cm="1">
        <f t="array" ref="R5">ABS(Tabela14975[CTBA]-R4)/R4</f>
        <v>0.62950526080143276</v>
      </c>
      <c r="S5" s="9" cm="1">
        <f t="array" ref="S5">ABS(Tabela14975[CTCA]-S4)/S4</f>
        <v>5.4318618042226471E-2</v>
      </c>
      <c r="T5" s="9" cm="1">
        <f t="array" ref="T5">ABS(Tabela14975[CTBC]-T4)/T4</f>
        <v>0.31362467866323901</v>
      </c>
      <c r="U5" s="9" cm="1">
        <f t="array" ref="U5">ABS(Tabela14975[CTCB]-U4)/U4</f>
        <v>0.25645499723909454</v>
      </c>
      <c r="V5" s="9" cm="1">
        <f t="array" ref="V5">ABS(Tabela14975[LEA]-V4)/V4</f>
        <v>0.52657004830917875</v>
      </c>
      <c r="W5" s="9" cm="1">
        <f t="array" ref="W5">ABS(Tabela14975[LEB]-W4)/W4</f>
        <v>0.14220320855614982</v>
      </c>
      <c r="X5" s="9" cm="1">
        <f t="array" ref="X5">ABS(Tabela14975[LEC]-X4)/X4</f>
        <v>0.23516028955532584</v>
      </c>
    </row>
    <row r="6" spans="1:26" ht="25.5" x14ac:dyDescent="0.3">
      <c r="A6" s="18" t="s">
        <v>22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</row>
    <row r="7" spans="1:26" ht="23.25" x14ac:dyDescent="0.3">
      <c r="A7" s="2" t="s">
        <v>0</v>
      </c>
      <c r="B7" s="2" t="s">
        <v>3</v>
      </c>
      <c r="C7" s="2" t="s">
        <v>2</v>
      </c>
      <c r="D7" s="10" t="s">
        <v>4</v>
      </c>
      <c r="E7" s="2" t="s">
        <v>5</v>
      </c>
      <c r="F7" s="2" t="s">
        <v>6</v>
      </c>
      <c r="G7" s="2" t="s">
        <v>7</v>
      </c>
      <c r="H7" s="2" t="s">
        <v>8</v>
      </c>
      <c r="I7" s="2" t="s">
        <v>9</v>
      </c>
      <c r="J7" s="2" t="s">
        <v>10</v>
      </c>
      <c r="K7" s="2" t="s">
        <v>11</v>
      </c>
      <c r="L7" s="2" t="s">
        <v>12</v>
      </c>
    </row>
    <row r="8" spans="1:26" ht="24" thickBot="1" x14ac:dyDescent="0.35">
      <c r="A8" s="6" t="s">
        <v>1</v>
      </c>
      <c r="B8" s="1">
        <v>3.9239999999999999</v>
      </c>
      <c r="C8" s="1">
        <v>0</v>
      </c>
      <c r="D8" s="1">
        <v>5.11E-3</v>
      </c>
      <c r="E8" s="1">
        <v>2.2599999999999999E-3</v>
      </c>
      <c r="F8" s="1">
        <v>4.4670000000000001E-2</v>
      </c>
      <c r="G8" s="1">
        <v>5.21E-2</v>
      </c>
      <c r="H8" s="1">
        <v>6.2239999999999997E-2</v>
      </c>
      <c r="I8" s="11">
        <v>0.45274999999999999</v>
      </c>
      <c r="J8" s="12">
        <v>2.0699999999999998E-3</v>
      </c>
      <c r="K8" s="1">
        <v>0.23375000000000001</v>
      </c>
      <c r="L8" s="3">
        <v>0.14505000000000001</v>
      </c>
    </row>
    <row r="9" spans="1:26" x14ac:dyDescent="0.3">
      <c r="K9" s="11"/>
      <c r="L9" s="12"/>
    </row>
    <row r="10" spans="1:26" x14ac:dyDescent="0.3">
      <c r="K10" s="11"/>
      <c r="L10" s="12"/>
    </row>
    <row r="11" spans="1:26" x14ac:dyDescent="0.3">
      <c r="K11" s="11"/>
      <c r="L11" s="12"/>
    </row>
    <row r="12" spans="1:26" x14ac:dyDescent="0.3">
      <c r="K12" s="11"/>
      <c r="L12" s="12"/>
      <c r="N12" s="3"/>
    </row>
    <row r="13" spans="1:26" x14ac:dyDescent="0.3">
      <c r="K13" s="11"/>
      <c r="L13" s="12"/>
      <c r="N13" s="3"/>
    </row>
    <row r="14" spans="1:26" x14ac:dyDescent="0.3">
      <c r="K14" s="11"/>
      <c r="L14" s="12"/>
      <c r="N14" s="3"/>
    </row>
    <row r="15" spans="1:26" x14ac:dyDescent="0.3">
      <c r="K15" s="11"/>
      <c r="L15" s="12"/>
      <c r="N15" s="3"/>
    </row>
    <row r="16" spans="1:26" x14ac:dyDescent="0.3">
      <c r="K16" s="11"/>
      <c r="L16" s="12"/>
    </row>
    <row r="17" spans="11:12" x14ac:dyDescent="0.3">
      <c r="K17" s="11"/>
      <c r="L17" s="12"/>
    </row>
    <row r="18" spans="11:12" x14ac:dyDescent="0.3">
      <c r="K18" s="11"/>
      <c r="L18" s="12"/>
    </row>
    <row r="19" spans="11:12" x14ac:dyDescent="0.3">
      <c r="K19" s="11"/>
      <c r="L19" s="12"/>
    </row>
  </sheetData>
  <mergeCells count="3">
    <mergeCell ref="A1:L1"/>
    <mergeCell ref="O1:X1"/>
    <mergeCell ref="A6:L6"/>
  </mergeCells>
  <phoneticPr fontId="3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35B8D-E1D5-4593-8D9D-90A6F46820FB}">
  <dimension ref="B1:AB28"/>
  <sheetViews>
    <sheetView zoomScale="85" zoomScaleNormal="85" workbookViewId="0">
      <selection activeCell="A10" sqref="A10:XFD15"/>
    </sheetView>
  </sheetViews>
  <sheetFormatPr defaultRowHeight="20.25" x14ac:dyDescent="0.3"/>
  <cols>
    <col min="1" max="1" width="2.5703125" style="1" customWidth="1"/>
    <col min="2" max="2" width="18.140625" style="2" bestFit="1" customWidth="1"/>
    <col min="3" max="3" width="13.42578125" style="2" bestFit="1" customWidth="1"/>
    <col min="4" max="4" width="9.85546875" style="2" bestFit="1" customWidth="1"/>
    <col min="5" max="5" width="16.85546875" style="2" bestFit="1" customWidth="1"/>
    <col min="6" max="6" width="16.28515625" style="2" bestFit="1" customWidth="1"/>
    <col min="7" max="8" width="16.42578125" style="2" bestFit="1" customWidth="1"/>
    <col min="9" max="9" width="14.5703125" style="1" bestFit="1" customWidth="1"/>
    <col min="10" max="10" width="14.7109375" style="1" bestFit="1" customWidth="1"/>
    <col min="11" max="13" width="13.42578125" style="1" bestFit="1" customWidth="1"/>
    <col min="14" max="16" width="9.140625" style="1"/>
    <col min="17" max="17" width="23.28515625" style="1" bestFit="1" customWidth="1"/>
    <col min="18" max="18" width="23.7109375" style="1" bestFit="1" customWidth="1"/>
    <col min="19" max="19" width="14.7109375" style="1" bestFit="1" customWidth="1"/>
    <col min="20" max="20" width="15" style="1" bestFit="1" customWidth="1"/>
    <col min="21" max="21" width="14.7109375" style="1" bestFit="1" customWidth="1"/>
    <col min="22" max="24" width="15" style="1" bestFit="1" customWidth="1"/>
    <col min="25" max="26" width="16" style="1" bestFit="1" customWidth="1"/>
    <col min="27" max="27" width="16.28515625" style="1" bestFit="1" customWidth="1"/>
    <col min="28" max="28" width="14.5703125" style="1" bestFit="1" customWidth="1"/>
    <col min="29" max="16384" width="9.140625" style="1"/>
  </cols>
  <sheetData>
    <row r="1" spans="2:28" ht="36.75" customHeight="1" x14ac:dyDescent="0.3">
      <c r="B1" s="19" t="s">
        <v>13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R1" s="19" t="s">
        <v>15</v>
      </c>
      <c r="S1" s="19"/>
      <c r="T1" s="19"/>
      <c r="U1" s="19"/>
      <c r="V1" s="19"/>
      <c r="W1" s="19"/>
      <c r="X1" s="19"/>
      <c r="Y1" s="19"/>
      <c r="Z1" s="19"/>
      <c r="AA1" s="19"/>
      <c r="AB1" s="19"/>
    </row>
    <row r="2" spans="2:28" ht="23.25" x14ac:dyDescent="0.3">
      <c r="B2" s="2" t="s">
        <v>0</v>
      </c>
      <c r="C2" s="2" t="s">
        <v>3</v>
      </c>
      <c r="D2" s="2" t="s">
        <v>2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2" t="s">
        <v>11</v>
      </c>
      <c r="M2" s="2" t="s">
        <v>12</v>
      </c>
      <c r="R2" s="2" t="s">
        <v>19</v>
      </c>
      <c r="S2" s="2" t="s">
        <v>2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</row>
    <row r="3" spans="2:28" ht="23.25" x14ac:dyDescent="0.3">
      <c r="B3" s="2" t="s">
        <v>1</v>
      </c>
      <c r="C3" s="2">
        <v>3.0070000000000001</v>
      </c>
      <c r="D3" s="2">
        <v>1.266</v>
      </c>
      <c r="E3" s="4">
        <v>5.7630000000000001E-2</v>
      </c>
      <c r="F3" s="4">
        <v>2.3439999999999999E-2</v>
      </c>
      <c r="G3" s="5">
        <v>0.42637000000000003</v>
      </c>
      <c r="H3" s="5">
        <v>9.5549999999999996E-2</v>
      </c>
      <c r="I3" s="5">
        <v>2.7990000000000001E-2</v>
      </c>
      <c r="J3" s="5">
        <v>2.6669999999999999E-2</v>
      </c>
      <c r="K3" s="5">
        <v>0.2447</v>
      </c>
      <c r="L3" s="5">
        <v>8.7989999999999999E-2</v>
      </c>
      <c r="M3" s="5">
        <v>9.6600000000000002E-3</v>
      </c>
      <c r="R3" s="2" t="s">
        <v>16</v>
      </c>
      <c r="S3" s="7">
        <v>1.266</v>
      </c>
      <c r="T3" s="7">
        <v>5.7630000000000001E-2</v>
      </c>
      <c r="U3" s="7">
        <v>2.3439999999999999E-2</v>
      </c>
      <c r="V3" s="7">
        <v>0.42637000000000003</v>
      </c>
      <c r="W3" s="7">
        <v>9.5549999999999996E-2</v>
      </c>
      <c r="X3" s="7">
        <v>2.7990000000000001E-2</v>
      </c>
      <c r="Y3" s="7">
        <v>2.6669999999999999E-2</v>
      </c>
      <c r="Z3" s="7">
        <v>0.2447</v>
      </c>
      <c r="AA3" s="7">
        <v>8.7989999999999999E-2</v>
      </c>
      <c r="AB3" s="7">
        <v>9.6600000000000002E-3</v>
      </c>
    </row>
    <row r="4" spans="2:28" ht="21" thickBot="1" x14ac:dyDescent="0.35">
      <c r="R4" s="6" t="s">
        <v>17</v>
      </c>
      <c r="S4" s="8">
        <v>1.3160000000000001</v>
      </c>
      <c r="T4" s="8">
        <v>5.747E-2</v>
      </c>
      <c r="U4" s="8">
        <v>2.648E-2</v>
      </c>
      <c r="V4" s="8">
        <v>0.3916</v>
      </c>
      <c r="W4" s="8">
        <v>0.13363</v>
      </c>
      <c r="X4" s="8">
        <v>1.7670000000000002E-2</v>
      </c>
      <c r="Y4" s="8">
        <v>2.3019999999999999E-2</v>
      </c>
      <c r="Z4" s="8">
        <v>0.28132000000000001</v>
      </c>
      <c r="AA4" s="8">
        <v>5.57E-2</v>
      </c>
      <c r="AB4" s="8">
        <v>1.3100000000000001E-2</v>
      </c>
    </row>
    <row r="5" spans="2:28" ht="21" thickBot="1" x14ac:dyDescent="0.35">
      <c r="C5" s="1"/>
      <c r="E5" s="1"/>
      <c r="G5" s="1"/>
      <c r="J5" s="2"/>
      <c r="L5" s="2"/>
      <c r="N5" s="2"/>
      <c r="R5" s="6" t="s">
        <v>18</v>
      </c>
      <c r="S5" s="9" cm="1">
        <f t="array" ref="S5">ABS(Tabela1497[f]-S4)/S4</f>
        <v>3.799392097264441E-2</v>
      </c>
      <c r="T5" s="9" cm="1">
        <f t="array" ref="T5">ABS(Tabela1497[CTAB]-T4)/T4</f>
        <v>2.7840612493474927E-3</v>
      </c>
      <c r="U5" s="9" cm="1">
        <f t="array" ref="U5">ABS(Tabela1497[CTAC]-U4)/U4</f>
        <v>0.11480362537764355</v>
      </c>
      <c r="V5" s="9" cm="1">
        <f t="array" ref="V5">ABS(Tabela1497[CTBA]-V4)/V4</f>
        <v>8.8789581205311607E-2</v>
      </c>
      <c r="W5" s="9" cm="1">
        <f t="array" ref="W5">ABS(Tabela1497[CTCA]-W4)/W4</f>
        <v>0.28496595075955999</v>
      </c>
      <c r="X5" s="9" cm="1">
        <f t="array" ref="X5">ABS(Tabela1497[CTBC]-X4)/X4</f>
        <v>0.58404074702886244</v>
      </c>
      <c r="Y5" s="9" cm="1">
        <f t="array" ref="Y5">ABS(Tabela1497[CTCB]-Y4)/Y4</f>
        <v>0.15855777584708952</v>
      </c>
      <c r="Z5" s="9" cm="1">
        <f t="array" ref="Z5">ABS(Tabela1497[LEA]-Z4)/Z4</f>
        <v>0.13017204606853411</v>
      </c>
      <c r="AA5" s="9" cm="1">
        <f t="array" ref="AA5">ABS(Tabela1497[LEB]-AA4)/AA4</f>
        <v>0.57971274685816876</v>
      </c>
      <c r="AB5" s="9" cm="1">
        <f t="array" ref="AB5">ABS(Tabela1497[LEC]-AB4)/AB4</f>
        <v>0.26259541984732826</v>
      </c>
    </row>
    <row r="6" spans="2:28" x14ac:dyDescent="0.3">
      <c r="B6" s="19" t="s">
        <v>14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2"/>
    </row>
    <row r="7" spans="2:28" ht="23.25" x14ac:dyDescent="0.3">
      <c r="B7" s="2" t="s">
        <v>0</v>
      </c>
      <c r="C7" s="2" t="s">
        <v>3</v>
      </c>
      <c r="D7" s="2" t="s">
        <v>2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2"/>
    </row>
    <row r="8" spans="2:28" ht="23.25" x14ac:dyDescent="0.3">
      <c r="B8" s="2" t="s">
        <v>1</v>
      </c>
      <c r="C8" s="1">
        <v>3.3069999999999999</v>
      </c>
      <c r="D8" s="2">
        <v>1.3160000000000001</v>
      </c>
      <c r="E8" s="1">
        <v>5.747E-2</v>
      </c>
      <c r="F8" s="2">
        <v>2.648E-2</v>
      </c>
      <c r="G8" s="1">
        <v>0.3916</v>
      </c>
      <c r="H8" s="2">
        <v>0.13363</v>
      </c>
      <c r="I8" s="1">
        <v>1.7670000000000002E-2</v>
      </c>
      <c r="J8" s="2">
        <v>2.3019999999999999E-2</v>
      </c>
      <c r="K8" s="1">
        <v>0.28132000000000001</v>
      </c>
      <c r="L8" s="2">
        <v>5.57E-2</v>
      </c>
      <c r="M8" s="1">
        <v>1.3100000000000001E-2</v>
      </c>
      <c r="N8" s="2"/>
    </row>
    <row r="9" spans="2:28" x14ac:dyDescent="0.3">
      <c r="C9" s="1"/>
      <c r="E9" s="1"/>
      <c r="G9" s="1"/>
      <c r="J9" s="2"/>
      <c r="L9" s="2"/>
      <c r="N9" s="2"/>
    </row>
    <row r="10" spans="2:28" x14ac:dyDescent="0.3">
      <c r="C10" s="1"/>
      <c r="E10" s="1"/>
      <c r="G10" s="1"/>
      <c r="J10" s="2"/>
      <c r="L10" s="2"/>
      <c r="N10" s="2"/>
    </row>
    <row r="11" spans="2:28" x14ac:dyDescent="0.3">
      <c r="C11" s="1"/>
      <c r="E11" s="1"/>
      <c r="G11" s="1"/>
      <c r="J11" s="2"/>
      <c r="L11" s="2"/>
      <c r="N11" s="2"/>
    </row>
    <row r="12" spans="2:28" x14ac:dyDescent="0.3">
      <c r="C12" s="1"/>
      <c r="E12" s="1"/>
      <c r="G12" s="1"/>
      <c r="J12" s="2"/>
      <c r="L12" s="2"/>
      <c r="N12" s="2"/>
    </row>
    <row r="13" spans="2:28" x14ac:dyDescent="0.3">
      <c r="C13" s="1"/>
      <c r="E13" s="1"/>
      <c r="G13" s="1"/>
      <c r="J13" s="2"/>
      <c r="L13" s="2"/>
      <c r="N13" s="2"/>
    </row>
    <row r="14" spans="2:28" x14ac:dyDescent="0.3">
      <c r="C14" s="1"/>
      <c r="E14" s="1"/>
      <c r="G14" s="1"/>
      <c r="J14" s="2"/>
      <c r="L14" s="2"/>
      <c r="N14" s="2"/>
    </row>
    <row r="15" spans="2:28" x14ac:dyDescent="0.3">
      <c r="C15" s="1"/>
      <c r="E15" s="1"/>
      <c r="G15" s="1"/>
      <c r="J15" s="2"/>
      <c r="L15" s="2"/>
      <c r="N15" s="2"/>
    </row>
    <row r="16" spans="2:28" x14ac:dyDescent="0.3">
      <c r="C16" s="1"/>
      <c r="E16" s="1"/>
      <c r="G16" s="1"/>
      <c r="J16" s="2"/>
      <c r="L16" s="2"/>
      <c r="N16" s="2"/>
    </row>
    <row r="17" spans="3:14" x14ac:dyDescent="0.3">
      <c r="C17" s="1"/>
      <c r="E17" s="1"/>
      <c r="G17" s="1"/>
      <c r="J17" s="2"/>
      <c r="L17" s="2"/>
      <c r="N17" s="2"/>
    </row>
    <row r="18" spans="3:14" x14ac:dyDescent="0.3">
      <c r="C18" s="1"/>
      <c r="E18" s="1"/>
      <c r="G18" s="1"/>
      <c r="J18" s="2"/>
      <c r="L18" s="2"/>
      <c r="N18" s="2"/>
    </row>
    <row r="19" spans="3:14" x14ac:dyDescent="0.3">
      <c r="C19" s="1"/>
      <c r="E19" s="1"/>
      <c r="G19" s="1"/>
      <c r="J19" s="2"/>
      <c r="L19" s="2"/>
      <c r="N19" s="2"/>
    </row>
    <row r="20" spans="3:14" x14ac:dyDescent="0.3">
      <c r="C20" s="1"/>
      <c r="E20" s="1"/>
      <c r="G20" s="1"/>
      <c r="J20" s="2"/>
      <c r="L20" s="2"/>
      <c r="N20" s="2"/>
    </row>
    <row r="21" spans="3:14" x14ac:dyDescent="0.3">
      <c r="C21" s="1"/>
      <c r="E21" s="1"/>
      <c r="G21" s="1"/>
      <c r="J21" s="2"/>
      <c r="L21" s="2"/>
      <c r="N21" s="2"/>
    </row>
    <row r="22" spans="3:14" x14ac:dyDescent="0.3">
      <c r="C22" s="1"/>
      <c r="E22" s="1"/>
      <c r="G22" s="1"/>
      <c r="J22" s="2"/>
      <c r="L22" s="2"/>
      <c r="N22" s="2"/>
    </row>
    <row r="23" spans="3:14" x14ac:dyDescent="0.3">
      <c r="C23" s="1"/>
      <c r="E23" s="1"/>
      <c r="G23" s="1"/>
      <c r="J23" s="2"/>
      <c r="L23" s="2"/>
      <c r="N23" s="2"/>
    </row>
    <row r="24" spans="3:14" x14ac:dyDescent="0.3">
      <c r="C24" s="1"/>
      <c r="E24" s="1"/>
      <c r="G24" s="1"/>
      <c r="J24" s="2"/>
      <c r="L24" s="2"/>
      <c r="N24" s="2"/>
    </row>
    <row r="25" spans="3:14" x14ac:dyDescent="0.3">
      <c r="C25" s="1"/>
      <c r="E25" s="1"/>
      <c r="G25" s="1"/>
      <c r="J25" s="2"/>
      <c r="L25" s="2"/>
      <c r="N25" s="2"/>
    </row>
    <row r="26" spans="3:14" x14ac:dyDescent="0.3">
      <c r="C26" s="1"/>
      <c r="E26" s="1"/>
      <c r="G26" s="1"/>
      <c r="J26" s="2"/>
      <c r="L26" s="2"/>
      <c r="N26" s="2"/>
    </row>
    <row r="27" spans="3:14" x14ac:dyDescent="0.3">
      <c r="C27" s="1"/>
      <c r="E27" s="1"/>
      <c r="G27" s="1"/>
      <c r="J27" s="2"/>
      <c r="L27" s="2"/>
      <c r="N27" s="2"/>
    </row>
    <row r="28" spans="3:14" x14ac:dyDescent="0.3">
      <c r="C28" s="1"/>
      <c r="E28" s="1"/>
      <c r="G28" s="1"/>
      <c r="J28" s="2"/>
      <c r="L28" s="2"/>
      <c r="N28" s="2"/>
    </row>
  </sheetData>
  <mergeCells count="3">
    <mergeCell ref="B1:M1"/>
    <mergeCell ref="B6:M6"/>
    <mergeCell ref="R1:AB1"/>
  </mergeCells>
  <phoneticPr fontId="3" type="noConversion"/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D2950-AF33-4034-84D5-3E19CF365195}">
  <dimension ref="A1:J10"/>
  <sheetViews>
    <sheetView workbookViewId="0">
      <selection activeCell="L3" sqref="L3"/>
    </sheetView>
  </sheetViews>
  <sheetFormatPr defaultRowHeight="15" x14ac:dyDescent="0.25"/>
  <cols>
    <col min="1" max="1" width="18.28515625" bestFit="1" customWidth="1"/>
  </cols>
  <sheetData>
    <row r="1" spans="1:10" ht="21" thickBot="1" x14ac:dyDescent="0.3">
      <c r="A1" s="20" t="s">
        <v>20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21" thickBot="1" x14ac:dyDescent="0.3">
      <c r="A2" s="14" t="s">
        <v>19</v>
      </c>
      <c r="B2" s="14" t="s">
        <v>4</v>
      </c>
      <c r="C2" s="14" t="s">
        <v>5</v>
      </c>
      <c r="D2" s="14" t="s">
        <v>6</v>
      </c>
      <c r="E2" s="14" t="s">
        <v>7</v>
      </c>
      <c r="F2" s="14" t="s">
        <v>8</v>
      </c>
      <c r="G2" s="14" t="s">
        <v>9</v>
      </c>
      <c r="H2" s="14" t="s">
        <v>10</v>
      </c>
      <c r="I2" s="14" t="s">
        <v>11</v>
      </c>
      <c r="J2" s="14" t="s">
        <v>12</v>
      </c>
    </row>
    <row r="3" spans="1:10" ht="21" thickBot="1" x14ac:dyDescent="0.3">
      <c r="A3" s="16" t="s">
        <v>16</v>
      </c>
      <c r="B3" s="13">
        <v>8.3300000000000006E-3</v>
      </c>
      <c r="C3" s="13">
        <v>1.8500000000000001E-3</v>
      </c>
      <c r="D3" s="13">
        <v>1.6549999999999999E-2</v>
      </c>
      <c r="E3" s="13">
        <v>4.9270000000000001E-2</v>
      </c>
      <c r="F3" s="13">
        <v>4.2720000000000001E-2</v>
      </c>
      <c r="G3" s="13">
        <v>0.56886000000000003</v>
      </c>
      <c r="H3" s="13">
        <v>9.7999999999999997E-4</v>
      </c>
      <c r="I3" s="13">
        <v>0.20050999999999999</v>
      </c>
      <c r="J3" s="13">
        <v>0.11094</v>
      </c>
    </row>
    <row r="4" spans="1:10" ht="21" thickBot="1" x14ac:dyDescent="0.3">
      <c r="A4" s="16" t="s">
        <v>17</v>
      </c>
      <c r="B4" s="13">
        <v>5.11E-3</v>
      </c>
      <c r="C4" s="13">
        <v>2.2599999999999999E-3</v>
      </c>
      <c r="D4" s="13">
        <v>4.4670000000000001E-2</v>
      </c>
      <c r="E4" s="13">
        <v>5.21E-2</v>
      </c>
      <c r="F4" s="13">
        <v>6.2239999999999997E-2</v>
      </c>
      <c r="G4" s="13">
        <v>0.45274999999999999</v>
      </c>
      <c r="H4" s="13">
        <v>2.0699999999999998E-3</v>
      </c>
      <c r="I4" s="13">
        <v>0.23375000000000001</v>
      </c>
      <c r="J4" s="13">
        <v>0.14505000000000001</v>
      </c>
    </row>
    <row r="5" spans="1:10" ht="21" thickBot="1" x14ac:dyDescent="0.3">
      <c r="A5" s="16" t="s">
        <v>18</v>
      </c>
      <c r="B5" s="17">
        <v>0.63013698630136994</v>
      </c>
      <c r="C5" s="17">
        <v>0.18141592920353974</v>
      </c>
      <c r="D5" s="17">
        <v>0.62950526080143276</v>
      </c>
      <c r="E5" s="17">
        <v>5.4318618042226471E-2</v>
      </c>
      <c r="F5" s="17">
        <v>0.31362467866323901</v>
      </c>
      <c r="G5" s="17">
        <v>0.25645499723909454</v>
      </c>
      <c r="H5" s="17">
        <v>0.52657004830917875</v>
      </c>
      <c r="I5" s="17">
        <v>0.14220320855614982</v>
      </c>
      <c r="J5" s="17">
        <v>0.23516028955532584</v>
      </c>
    </row>
    <row r="6" spans="1:10" ht="21" thickBot="1" x14ac:dyDescent="0.3">
      <c r="A6" s="20" t="s">
        <v>15</v>
      </c>
      <c r="B6" s="20"/>
      <c r="C6" s="20"/>
      <c r="D6" s="20"/>
      <c r="E6" s="20"/>
      <c r="F6" s="20"/>
      <c r="G6" s="20"/>
      <c r="H6" s="20"/>
      <c r="I6" s="20"/>
      <c r="J6" s="20"/>
    </row>
    <row r="7" spans="1:10" ht="21" thickBot="1" x14ac:dyDescent="0.3">
      <c r="A7" s="14" t="s">
        <v>19</v>
      </c>
      <c r="B7" s="14" t="s">
        <v>4</v>
      </c>
      <c r="C7" s="14" t="s">
        <v>5</v>
      </c>
      <c r="D7" s="14" t="s">
        <v>6</v>
      </c>
      <c r="E7" s="14" t="s">
        <v>7</v>
      </c>
      <c r="F7" s="14" t="s">
        <v>8</v>
      </c>
      <c r="G7" s="14" t="s">
        <v>9</v>
      </c>
      <c r="H7" s="14" t="s">
        <v>10</v>
      </c>
      <c r="I7" s="14" t="s">
        <v>11</v>
      </c>
      <c r="J7" s="14" t="s">
        <v>12</v>
      </c>
    </row>
    <row r="8" spans="1:10" ht="21" thickBot="1" x14ac:dyDescent="0.3">
      <c r="A8" s="16" t="s">
        <v>16</v>
      </c>
      <c r="B8" s="15">
        <v>5.7630000000000001E-2</v>
      </c>
      <c r="C8" s="15">
        <v>2.3439999999999999E-2</v>
      </c>
      <c r="D8" s="15">
        <v>0.42637000000000003</v>
      </c>
      <c r="E8" s="15">
        <v>9.5549999999999996E-2</v>
      </c>
      <c r="F8" s="15">
        <v>2.7990000000000001E-2</v>
      </c>
      <c r="G8" s="15">
        <v>2.6669999999999999E-2</v>
      </c>
      <c r="H8" s="15">
        <v>0.2447</v>
      </c>
      <c r="I8" s="15">
        <v>8.7989999999999999E-2</v>
      </c>
      <c r="J8" s="15">
        <v>9.6600000000000002E-3</v>
      </c>
    </row>
    <row r="9" spans="1:10" ht="21" thickBot="1" x14ac:dyDescent="0.3">
      <c r="A9" s="16" t="s">
        <v>17</v>
      </c>
      <c r="B9" s="15">
        <v>5.747E-2</v>
      </c>
      <c r="C9" s="15">
        <v>2.648E-2</v>
      </c>
      <c r="D9" s="15">
        <v>0.3916</v>
      </c>
      <c r="E9" s="15">
        <v>0.13363</v>
      </c>
      <c r="F9" s="15">
        <v>1.7670000000000002E-2</v>
      </c>
      <c r="G9" s="15">
        <v>2.3019999999999999E-2</v>
      </c>
      <c r="H9" s="15">
        <v>0.28132000000000001</v>
      </c>
      <c r="I9" s="15">
        <v>5.57E-2</v>
      </c>
      <c r="J9" s="15">
        <v>1.3100000000000001E-2</v>
      </c>
    </row>
    <row r="10" spans="1:10" ht="21" thickBot="1" x14ac:dyDescent="0.3">
      <c r="A10" s="16" t="s">
        <v>18</v>
      </c>
      <c r="B10" s="9">
        <v>2.7840612493474927E-3</v>
      </c>
      <c r="C10" s="9">
        <v>0.11480362537764355</v>
      </c>
      <c r="D10" s="9">
        <v>8.8789581205311607E-2</v>
      </c>
      <c r="E10" s="9">
        <v>0.28496595075955999</v>
      </c>
      <c r="F10" s="9">
        <v>0.58404074702886244</v>
      </c>
      <c r="G10" s="9">
        <v>0.15855777584708952</v>
      </c>
      <c r="H10" s="9">
        <v>0.13017204606853411</v>
      </c>
      <c r="I10" s="9">
        <v>0.57971274685816876</v>
      </c>
      <c r="J10" s="9">
        <v>0.26259541984732826</v>
      </c>
    </row>
  </sheetData>
  <mergeCells count="2">
    <mergeCell ref="A6:J6"/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CT - HBQ</vt:lpstr>
      <vt:lpstr>CT - NMU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Máximo</dc:creator>
  <cp:lastModifiedBy>Matheus Maximo</cp:lastModifiedBy>
  <dcterms:created xsi:type="dcterms:W3CDTF">2015-06-05T18:19:34Z</dcterms:created>
  <dcterms:modified xsi:type="dcterms:W3CDTF">2025-09-02T10:58:49Z</dcterms:modified>
</cp:coreProperties>
</file>